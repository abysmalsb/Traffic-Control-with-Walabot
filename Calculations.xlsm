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lgaim\MCU\Walabot\Traffic-Control-with-Walabot\"/>
    </mc:Choice>
  </mc:AlternateContent>
  <bookViews>
    <workbookView xWindow="0" yWindow="0" windowWidth="20490" windowHeight="7530"/>
  </bookViews>
  <sheets>
    <sheet name="Traffic control systems" sheetId="1" r:id="rId1"/>
    <sheet name="Demo data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H8" i="1"/>
  <c r="H7" i="1"/>
  <c r="I6" i="1"/>
  <c r="J6" i="1"/>
  <c r="J5" i="1"/>
  <c r="J3" i="1"/>
  <c r="H6" i="1"/>
  <c r="I5" i="1"/>
  <c r="H5" i="1"/>
  <c r="H4" i="1"/>
  <c r="I4" i="1"/>
  <c r="J4" i="1"/>
  <c r="I3" i="1"/>
  <c r="H3" i="1"/>
</calcChain>
</file>

<file path=xl/sharedStrings.xml><?xml version="1.0" encoding="utf-8"?>
<sst xmlns="http://schemas.openxmlformats.org/spreadsheetml/2006/main" count="36" uniqueCount="20">
  <si>
    <t>Default green time:</t>
  </si>
  <si>
    <t>Cars</t>
  </si>
  <si>
    <t>Pedestrians</t>
  </si>
  <si>
    <t>Number of cars</t>
  </si>
  <si>
    <t>Participants:</t>
  </si>
  <si>
    <t>Number of pedestrians</t>
  </si>
  <si>
    <t>Waiting times if cars get green first:</t>
  </si>
  <si>
    <t>Waiting times if pedestrians get green first:</t>
  </si>
  <si>
    <t>Traditional</t>
  </si>
  <si>
    <t>Smart (simple implementation)</t>
  </si>
  <si>
    <t>Tailgating time:</t>
  </si>
  <si>
    <t>Total</t>
  </si>
  <si>
    <t>Average waiting (traditional):</t>
  </si>
  <si>
    <t>Average waiting (smart):</t>
  </si>
  <si>
    <t>Max waiting (traditional):</t>
  </si>
  <si>
    <t>Max waiting (smart):</t>
  </si>
  <si>
    <t>Median (traditional):</t>
  </si>
  <si>
    <t>Median (smart):</t>
  </si>
  <si>
    <t>Number of rows: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</si>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</sst>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General\ \s"/>
  </numFmts>
  <fonts count="4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0"/>
      <name val="Calibri"/>
      <family val="2"/>
      <charset val="238"/>
      <scheme val="minor"/>
    </font>
    <font>
      <strike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/>
    <xf numFmtId="0" fontId="0" fillId="2" borderId="1" xfId="0" applyFill="1" applyBorder="1"/>
    <xf numFmtId="0" fontId="0" fillId="2" borderId="1" xfId="0" applyNumberFormat="1" applyFill="1" applyBorder="1"/>
    <xf numFmtId="0" fontId="0" fillId="4" borderId="1" xfId="0" applyFill="1" applyBorder="1"/>
    <xf numFmtId="0" fontId="0" fillId="4" borderId="1" xfId="0" applyFill="1" applyBorder="1" applyAlignment="1">
      <alignment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165" fontId="0" fillId="2" borderId="1" xfId="0" applyNumberFormat="1" applyFill="1" applyBorder="1"/>
    <xf numFmtId="165" fontId="0" fillId="2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2" fillId="0" borderId="0" xfId="0" applyFont="1"/>
    <xf numFmtId="0" fontId="0" fillId="4" borderId="1" xfId="0" applyFill="1" applyBorder="1" applyAlignment="1"/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165" fontId="0" fillId="0" borderId="0" xfId="0" applyNumberFormat="1" applyFill="1" applyBorder="1"/>
    <xf numFmtId="165" fontId="0" fillId="5" borderId="1" xfId="0" applyNumberFormat="1" applyFill="1" applyBorder="1"/>
    <xf numFmtId="0" fontId="0" fillId="4" borderId="6" xfId="0" applyFill="1" applyBorder="1" applyAlignment="1"/>
    <xf numFmtId="0" fontId="0" fillId="0" borderId="7" xfId="0" applyBorder="1" applyAlignment="1"/>
    <xf numFmtId="0" fontId="0" fillId="4" borderId="7" xfId="0" applyFill="1" applyBorder="1" applyAlignment="1"/>
    <xf numFmtId="165" fontId="3" fillId="0" borderId="0" xfId="0" applyNumberFormat="1" applyFont="1" applyFill="1" applyBorder="1"/>
    <xf numFmtId="0" fontId="0" fillId="0" borderId="0" xfId="0" applyFill="1" applyBorder="1" applyAlignment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89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Comparing the controllers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'Traffic control systems'!$H$2</c:f>
              <c:strCache>
                <c:ptCount val="1"/>
                <c:pt idx="0">
                  <c:v>Cars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'Traffic control systems'!$F$3:$F$8</c:f>
              <c:strCache>
                <c:ptCount val="6"/>
                <c:pt idx="0">
                  <c:v>Average waiting (traditional):</c:v>
                </c:pt>
                <c:pt idx="1">
                  <c:v>Average waiting (smart):</c:v>
                </c:pt>
                <c:pt idx="2">
                  <c:v>Median (traditional):</c:v>
                </c:pt>
                <c:pt idx="3">
                  <c:v>Median (smart):</c:v>
                </c:pt>
                <c:pt idx="4">
                  <c:v>Max waiting (traditional):</c:v>
                </c:pt>
                <c:pt idx="5">
                  <c:v>Max waiting (smart):</c:v>
                </c:pt>
              </c:strCache>
            </c:strRef>
          </c:cat>
          <c:val>
            <c:numRef>
              <c:f>'Traffic control systems'!$H$3:$H$8</c:f>
              <c:numCache>
                <c:formatCode>General\ \s</c:formatCode>
                <c:ptCount val="6"/>
                <c:pt idx="0">
                  <c:v>42.5</c:v>
                </c:pt>
                <c:pt idx="1">
                  <c:v>42.762500000000003</c:v>
                </c:pt>
                <c:pt idx="2">
                  <c:v>32.5</c:v>
                </c:pt>
                <c:pt idx="3">
                  <c:v>36</c:v>
                </c:pt>
                <c:pt idx="4">
                  <c:v>110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8E-43C5-A09C-DCB0EB047D53}"/>
            </c:ext>
          </c:extLst>
        </c:ser>
        <c:ser>
          <c:idx val="2"/>
          <c:order val="2"/>
          <c:tx>
            <c:strRef>
              <c:f>'Traffic control systems'!$I$2</c:f>
              <c:strCache>
                <c:ptCount val="1"/>
                <c:pt idx="0">
                  <c:v>Pedestrians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'Traffic control systems'!$F$3:$F$8</c:f>
              <c:strCache>
                <c:ptCount val="6"/>
                <c:pt idx="0">
                  <c:v>Average waiting (traditional):</c:v>
                </c:pt>
                <c:pt idx="1">
                  <c:v>Average waiting (smart):</c:v>
                </c:pt>
                <c:pt idx="2">
                  <c:v>Median (traditional):</c:v>
                </c:pt>
                <c:pt idx="3">
                  <c:v>Median (smart):</c:v>
                </c:pt>
                <c:pt idx="4">
                  <c:v>Max waiting (traditional):</c:v>
                </c:pt>
                <c:pt idx="5">
                  <c:v>Max waiting (smart):</c:v>
                </c:pt>
              </c:strCache>
            </c:strRef>
          </c:cat>
          <c:val>
            <c:numRef>
              <c:f>'Traffic control systems'!$I$3:$I$8</c:f>
              <c:numCache>
                <c:formatCode>General\ \s</c:formatCode>
                <c:ptCount val="6"/>
                <c:pt idx="0">
                  <c:v>85</c:v>
                </c:pt>
                <c:pt idx="1">
                  <c:v>43.125</c:v>
                </c:pt>
                <c:pt idx="2">
                  <c:v>69.5</c:v>
                </c:pt>
                <c:pt idx="3">
                  <c:v>37</c:v>
                </c:pt>
                <c:pt idx="4">
                  <c:v>220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8E-43C5-A09C-DCB0EB047D53}"/>
            </c:ext>
          </c:extLst>
        </c:ser>
        <c:ser>
          <c:idx val="3"/>
          <c:order val="3"/>
          <c:tx>
            <c:strRef>
              <c:f>'Traffic control systems'!$J$2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'Traffic control systems'!$F$3:$F$8</c:f>
              <c:strCache>
                <c:ptCount val="6"/>
                <c:pt idx="0">
                  <c:v>Average waiting (traditional):</c:v>
                </c:pt>
                <c:pt idx="1">
                  <c:v>Average waiting (smart):</c:v>
                </c:pt>
                <c:pt idx="2">
                  <c:v>Median (traditional):</c:v>
                </c:pt>
                <c:pt idx="3">
                  <c:v>Median (smart):</c:v>
                </c:pt>
                <c:pt idx="4">
                  <c:v>Max waiting (traditional):</c:v>
                </c:pt>
                <c:pt idx="5">
                  <c:v>Max waiting (smart):</c:v>
                </c:pt>
              </c:strCache>
            </c:strRef>
          </c:cat>
          <c:val>
            <c:numRef>
              <c:f>'Traffic control systems'!$J$3:$J$8</c:f>
              <c:numCache>
                <c:formatCode>General\ \s</c:formatCode>
                <c:ptCount val="6"/>
                <c:pt idx="0">
                  <c:v>53.346874999999997</c:v>
                </c:pt>
                <c:pt idx="1">
                  <c:v>42.943750000000001</c:v>
                </c:pt>
                <c:pt idx="2">
                  <c:v>57.5</c:v>
                </c:pt>
                <c:pt idx="3">
                  <c:v>36</c:v>
                </c:pt>
                <c:pt idx="4" formatCode="General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8E-43C5-A09C-DCB0EB047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84156904"/>
        <c:axId val="484157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'Traffic control systems'!$G$2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'Traffic control systems'!$F$3:$F$8</c15:sqref>
                        </c15:formulaRef>
                      </c:ext>
                    </c:extLst>
                    <c:strCache>
                      <c:ptCount val="6"/>
                      <c:pt idx="0">
                        <c:v>Average waiting (traditional):</c:v>
                      </c:pt>
                      <c:pt idx="1">
                        <c:v>Average waiting (smart):</c:v>
                      </c:pt>
                      <c:pt idx="2">
                        <c:v>Median (traditional):</c:v>
                      </c:pt>
                      <c:pt idx="3">
                        <c:v>Median (smart):</c:v>
                      </c:pt>
                      <c:pt idx="4">
                        <c:v>Max waiting (traditional):</c:v>
                      </c:pt>
                      <c:pt idx="5">
                        <c:v>Max waiting (smart):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'Traffic control systems'!$G$3:$G$8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8E-43C5-A09C-DCB0EB047D53}"/>
                  </c:ext>
                </c:extLst>
              </c15:ser>
            </c15:filteredBarSeries>
          </c:ext>
        </c:extLst>
      </c:barChart>
      <c:catAx>
        <c:axId val="484156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4157232"/>
        <c:crosses val="autoZero"/>
        <c:auto val="1"/>
        <c:lblAlgn val="ctr"/>
        <c:lblOffset val="100"/>
        <c:noMultiLvlLbl val="0"/>
      </c:catAx>
      <c:valAx>
        <c:axId val="48415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\ \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415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17318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180975</xdr:rowOff>
        </xdr:from>
        <xdr:to>
          <xdr:col>1</xdr:col>
          <xdr:colOff>1485900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9525</xdr:colOff>
      <xdr:row>0</xdr:row>
      <xdr:rowOff>190499</xdr:rowOff>
    </xdr:from>
    <xdr:to>
      <xdr:col>23</xdr:col>
      <xdr:colOff>0</xdr:colOff>
      <xdr:row>18</xdr:row>
      <xdr:rowOff>9525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70F29803-F373-442A-AD53-D34FD1B84F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V59"/>
  <sheetViews>
    <sheetView tabSelected="1" zoomScaleNormal="100" workbookViewId="0">
      <selection activeCell="B15" sqref="B15:C55"/>
    </sheetView>
  </sheetViews>
  <sheetFormatPr defaultRowHeight="15" x14ac:dyDescent="0.25"/>
  <cols>
    <col min="2" max="2" width="22.42578125" customWidth="1"/>
    <col min="3" max="3" width="21.5703125" customWidth="1"/>
    <col min="4" max="4" width="14.85546875" customWidth="1"/>
    <col min="5" max="5" width="11.42578125" bestFit="1" customWidth="1"/>
    <col min="6" max="6" width="13.42578125" bestFit="1" customWidth="1"/>
    <col min="7" max="7" width="13.42578125" customWidth="1"/>
    <col min="8" max="9" width="11.85546875" customWidth="1"/>
    <col min="10" max="11" width="12.28515625" customWidth="1"/>
    <col min="16" max="22" width="9.140625" style="8"/>
  </cols>
  <sheetData>
    <row r="1" spans="1:22" x14ac:dyDescent="0.25">
      <c r="A1" s="15">
        <v>41</v>
      </c>
      <c r="C1" s="11"/>
    </row>
    <row r="2" spans="1:22" ht="15.75" customHeight="1" x14ac:dyDescent="0.25">
      <c r="B2" s="4" t="s">
        <v>18</v>
      </c>
      <c r="C2" s="3">
        <v>41</v>
      </c>
      <c r="F2" s="25"/>
      <c r="G2" s="26"/>
      <c r="H2" s="30" t="s">
        <v>1</v>
      </c>
      <c r="I2" s="30" t="s">
        <v>2</v>
      </c>
      <c r="J2" s="30" t="s">
        <v>11</v>
      </c>
    </row>
    <row r="3" spans="1:22" x14ac:dyDescent="0.25">
      <c r="F3" s="16" t="s">
        <v>12</v>
      </c>
      <c r="G3" s="16"/>
      <c r="H3" s="24">
        <f>AVERAGE(D15:D155,F15:F155)</f>
        <v>42.5</v>
      </c>
      <c r="I3" s="24">
        <f>AVERAGE(E15:E155,G15:G155)</f>
        <v>85</v>
      </c>
      <c r="J3" s="24">
        <f>AVERAGE(D15:K155)</f>
        <v>53.346874999999997</v>
      </c>
    </row>
    <row r="4" spans="1:22" x14ac:dyDescent="0.25">
      <c r="B4" s="4"/>
      <c r="C4" s="30" t="s">
        <v>1</v>
      </c>
      <c r="D4" s="30" t="s">
        <v>2</v>
      </c>
      <c r="F4" s="16" t="s">
        <v>13</v>
      </c>
      <c r="G4" s="16"/>
      <c r="H4" s="24">
        <f>AVERAGE(H15:H155,J15:J155)</f>
        <v>42.762500000000003</v>
      </c>
      <c r="I4" s="24">
        <f>AVERAGE(I15:I155,K15:K155)</f>
        <v>43.125</v>
      </c>
      <c r="J4" s="24">
        <f>AVERAGE(H15:K155)</f>
        <v>42.943750000000001</v>
      </c>
    </row>
    <row r="5" spans="1:22" x14ac:dyDescent="0.25">
      <c r="B5" s="5" t="s">
        <v>0</v>
      </c>
      <c r="C5" s="12">
        <v>60</v>
      </c>
      <c r="D5" s="12">
        <v>15</v>
      </c>
      <c r="F5" s="25" t="s">
        <v>16</v>
      </c>
      <c r="G5" s="27"/>
      <c r="H5" s="24">
        <f>MEDIAN(D15:D155,F15:F155)</f>
        <v>32.5</v>
      </c>
      <c r="I5" s="24">
        <f>MEDIAN(E15:E155,G15:G155)</f>
        <v>69.5</v>
      </c>
      <c r="J5" s="24">
        <f>MEDIAN(D15:G55)</f>
        <v>57.5</v>
      </c>
    </row>
    <row r="6" spans="1:22" x14ac:dyDescent="0.25">
      <c r="B6" s="5" t="s">
        <v>10</v>
      </c>
      <c r="C6" s="12">
        <v>2</v>
      </c>
      <c r="D6" s="13">
        <v>1</v>
      </c>
      <c r="F6" s="25" t="s">
        <v>17</v>
      </c>
      <c r="G6" s="27"/>
      <c r="H6" s="24">
        <f>MEDIAN(H15:H155,J15:J155)</f>
        <v>36</v>
      </c>
      <c r="I6" s="24">
        <f>MEDIAN(I15:I155,K15:K155)</f>
        <v>37</v>
      </c>
      <c r="J6" s="24">
        <f>MEDIAN(H15:K155)</f>
        <v>36</v>
      </c>
      <c r="S6" s="28"/>
      <c r="T6" s="28"/>
      <c r="U6" s="28"/>
    </row>
    <row r="7" spans="1:22" x14ac:dyDescent="0.25">
      <c r="C7" s="11"/>
      <c r="D7" s="11"/>
      <c r="F7" s="25" t="s">
        <v>14</v>
      </c>
      <c r="G7" s="27"/>
      <c r="H7" s="24">
        <f>MAX(D15:D155,F15:F155)</f>
        <v>110</v>
      </c>
      <c r="I7" s="24">
        <f>MAX(E15:E155,G15:G155)</f>
        <v>220</v>
      </c>
      <c r="J7" s="31" t="s">
        <v>19</v>
      </c>
      <c r="S7" s="28"/>
      <c r="T7" s="28"/>
      <c r="U7" s="28"/>
    </row>
    <row r="8" spans="1:22" x14ac:dyDescent="0.25">
      <c r="C8" s="11"/>
      <c r="D8" s="11"/>
      <c r="F8" s="25" t="s">
        <v>15</v>
      </c>
      <c r="G8" s="27"/>
      <c r="H8" s="24">
        <f>MAX(H15:H155,J15:J155)</f>
        <v>120</v>
      </c>
      <c r="I8" s="24">
        <f>MAX(I15:I155,K15:K155)</f>
        <v>120</v>
      </c>
      <c r="J8" s="31" t="s">
        <v>19</v>
      </c>
    </row>
    <row r="11" spans="1:22" s="1" customFormat="1" x14ac:dyDescent="0.25">
      <c r="P11" s="29"/>
      <c r="Q11" s="29"/>
      <c r="R11" s="29"/>
      <c r="S11" s="29"/>
      <c r="T11" s="29"/>
      <c r="U11" s="29"/>
      <c r="V11" s="29"/>
    </row>
    <row r="12" spans="1:22" ht="18.75" customHeight="1" x14ac:dyDescent="0.25">
      <c r="B12" s="17" t="s">
        <v>4</v>
      </c>
      <c r="C12" s="18"/>
      <c r="D12" s="22" t="s">
        <v>8</v>
      </c>
      <c r="E12" s="22"/>
      <c r="F12" s="22"/>
      <c r="G12" s="22"/>
      <c r="H12" s="22" t="s">
        <v>9</v>
      </c>
      <c r="I12" s="22"/>
      <c r="J12" s="22"/>
      <c r="K12" s="22"/>
    </row>
    <row r="13" spans="1:22" ht="30" customHeight="1" x14ac:dyDescent="0.25">
      <c r="B13" s="19"/>
      <c r="C13" s="20"/>
      <c r="D13" s="21" t="s">
        <v>6</v>
      </c>
      <c r="E13" s="21"/>
      <c r="F13" s="21" t="s">
        <v>7</v>
      </c>
      <c r="G13" s="21"/>
      <c r="H13" s="21" t="s">
        <v>6</v>
      </c>
      <c r="I13" s="21"/>
      <c r="J13" s="21" t="s">
        <v>7</v>
      </c>
      <c r="K13" s="21"/>
    </row>
    <row r="14" spans="1:22" x14ac:dyDescent="0.25">
      <c r="B14" s="6" t="s">
        <v>3</v>
      </c>
      <c r="C14" s="6" t="s">
        <v>5</v>
      </c>
      <c r="D14" s="7" t="s">
        <v>1</v>
      </c>
      <c r="E14" s="7" t="s">
        <v>2</v>
      </c>
      <c r="F14" s="7" t="s">
        <v>1</v>
      </c>
      <c r="G14" s="7" t="s">
        <v>2</v>
      </c>
      <c r="H14" s="7" t="s">
        <v>1</v>
      </c>
      <c r="I14" s="7" t="s">
        <v>2</v>
      </c>
      <c r="J14" s="7" t="s">
        <v>1</v>
      </c>
      <c r="K14" s="7" t="s">
        <v>2</v>
      </c>
    </row>
    <row r="15" spans="1:22" x14ac:dyDescent="0.25">
      <c r="B15" s="2">
        <v>0</v>
      </c>
      <c r="C15" s="2">
        <v>40</v>
      </c>
      <c r="D15" s="14"/>
      <c r="E15" s="14">
        <v>220</v>
      </c>
      <c r="F15" s="14"/>
      <c r="G15" s="14">
        <v>160</v>
      </c>
      <c r="H15" s="14"/>
      <c r="I15" s="14">
        <v>40</v>
      </c>
      <c r="J15" s="14"/>
      <c r="K15" s="14">
        <v>40</v>
      </c>
    </row>
    <row r="16" spans="1:22" x14ac:dyDescent="0.25">
      <c r="B16" s="2">
        <v>1</v>
      </c>
      <c r="C16" s="2">
        <v>37</v>
      </c>
      <c r="D16" s="14">
        <v>2</v>
      </c>
      <c r="E16" s="14">
        <v>217</v>
      </c>
      <c r="F16" s="14">
        <v>17</v>
      </c>
      <c r="G16" s="14">
        <v>157</v>
      </c>
      <c r="H16" s="14">
        <v>2</v>
      </c>
      <c r="I16" s="14">
        <v>39</v>
      </c>
      <c r="J16" s="14">
        <v>39</v>
      </c>
      <c r="K16" s="14">
        <v>37</v>
      </c>
    </row>
    <row r="17" spans="2:11" x14ac:dyDescent="0.25">
      <c r="B17" s="2">
        <v>2</v>
      </c>
      <c r="C17" s="2">
        <v>34</v>
      </c>
      <c r="D17" s="14">
        <v>4</v>
      </c>
      <c r="E17" s="14">
        <v>214</v>
      </c>
      <c r="F17" s="14">
        <v>19</v>
      </c>
      <c r="G17" s="14">
        <v>154</v>
      </c>
      <c r="H17" s="14">
        <v>4</v>
      </c>
      <c r="I17" s="14">
        <v>38</v>
      </c>
      <c r="J17" s="14">
        <v>38</v>
      </c>
      <c r="K17" s="14">
        <v>34</v>
      </c>
    </row>
    <row r="18" spans="2:11" x14ac:dyDescent="0.25">
      <c r="B18" s="2">
        <v>3</v>
      </c>
      <c r="C18" s="2">
        <v>31</v>
      </c>
      <c r="D18" s="14">
        <v>6</v>
      </c>
      <c r="E18" s="14">
        <v>211</v>
      </c>
      <c r="F18" s="14">
        <v>21</v>
      </c>
      <c r="G18" s="14">
        <v>151</v>
      </c>
      <c r="H18" s="14">
        <v>6</v>
      </c>
      <c r="I18" s="14">
        <v>37</v>
      </c>
      <c r="J18" s="14">
        <v>37</v>
      </c>
      <c r="K18" s="14">
        <v>31</v>
      </c>
    </row>
    <row r="19" spans="2:11" x14ac:dyDescent="0.25">
      <c r="B19" s="2">
        <v>4</v>
      </c>
      <c r="C19" s="2">
        <v>28</v>
      </c>
      <c r="D19" s="14">
        <v>8</v>
      </c>
      <c r="E19" s="14">
        <v>148</v>
      </c>
      <c r="F19" s="14">
        <v>23</v>
      </c>
      <c r="G19" s="14">
        <v>88</v>
      </c>
      <c r="H19" s="14">
        <v>36</v>
      </c>
      <c r="I19" s="14">
        <v>34</v>
      </c>
      <c r="J19" s="14">
        <v>36</v>
      </c>
      <c r="K19" s="14">
        <v>28</v>
      </c>
    </row>
    <row r="20" spans="2:11" x14ac:dyDescent="0.25">
      <c r="B20" s="2">
        <v>5</v>
      </c>
      <c r="C20" s="2">
        <v>25</v>
      </c>
      <c r="D20" s="14">
        <v>10</v>
      </c>
      <c r="E20" s="14">
        <v>145</v>
      </c>
      <c r="F20" s="14">
        <v>25</v>
      </c>
      <c r="G20" s="14">
        <v>85</v>
      </c>
      <c r="H20" s="14">
        <v>35</v>
      </c>
      <c r="I20" s="14">
        <v>33</v>
      </c>
      <c r="J20" s="14">
        <v>35</v>
      </c>
      <c r="K20" s="14">
        <v>25</v>
      </c>
    </row>
    <row r="21" spans="2:11" x14ac:dyDescent="0.25">
      <c r="B21" s="2">
        <v>6</v>
      </c>
      <c r="C21" s="2">
        <v>22</v>
      </c>
      <c r="D21" s="14">
        <v>12</v>
      </c>
      <c r="E21" s="14">
        <v>142</v>
      </c>
      <c r="F21" s="14">
        <v>27</v>
      </c>
      <c r="G21" s="14">
        <v>82</v>
      </c>
      <c r="H21" s="14">
        <v>34</v>
      </c>
      <c r="I21" s="14">
        <v>32</v>
      </c>
      <c r="J21" s="14">
        <v>33</v>
      </c>
      <c r="K21" s="14">
        <v>34</v>
      </c>
    </row>
    <row r="22" spans="2:11" x14ac:dyDescent="0.25">
      <c r="B22" s="2">
        <v>7</v>
      </c>
      <c r="C22" s="2">
        <v>19</v>
      </c>
      <c r="D22" s="14">
        <v>14</v>
      </c>
      <c r="E22" s="14">
        <v>139</v>
      </c>
      <c r="F22" s="14">
        <v>29</v>
      </c>
      <c r="G22" s="14">
        <v>79</v>
      </c>
      <c r="H22" s="14">
        <v>33</v>
      </c>
      <c r="I22" s="14">
        <v>31</v>
      </c>
      <c r="J22" s="14">
        <v>32</v>
      </c>
      <c r="K22" s="14">
        <v>33</v>
      </c>
    </row>
    <row r="23" spans="2:11" x14ac:dyDescent="0.25">
      <c r="B23" s="2">
        <v>8</v>
      </c>
      <c r="C23" s="2">
        <v>16</v>
      </c>
      <c r="D23" s="14">
        <v>16</v>
      </c>
      <c r="E23" s="14">
        <v>136</v>
      </c>
      <c r="F23" s="14">
        <v>31</v>
      </c>
      <c r="G23" s="14">
        <v>76</v>
      </c>
      <c r="H23" s="14">
        <v>16</v>
      </c>
      <c r="I23" s="14">
        <v>32</v>
      </c>
      <c r="J23" s="14">
        <v>30</v>
      </c>
      <c r="K23" s="14">
        <v>32</v>
      </c>
    </row>
    <row r="24" spans="2:11" x14ac:dyDescent="0.25">
      <c r="B24" s="2">
        <v>9</v>
      </c>
      <c r="C24" s="2">
        <v>13</v>
      </c>
      <c r="D24" s="14">
        <v>18</v>
      </c>
      <c r="E24" s="14">
        <v>73</v>
      </c>
      <c r="F24" s="14">
        <v>33</v>
      </c>
      <c r="G24" s="14">
        <v>13</v>
      </c>
      <c r="H24" s="14">
        <v>18</v>
      </c>
      <c r="I24" s="14">
        <v>31</v>
      </c>
      <c r="J24" s="14">
        <v>29</v>
      </c>
      <c r="K24" s="14">
        <v>31</v>
      </c>
    </row>
    <row r="25" spans="2:11" x14ac:dyDescent="0.25">
      <c r="B25" s="2">
        <v>10</v>
      </c>
      <c r="C25" s="2">
        <v>10</v>
      </c>
      <c r="D25" s="14">
        <v>20</v>
      </c>
      <c r="E25" s="14">
        <v>70</v>
      </c>
      <c r="F25" s="14">
        <v>35</v>
      </c>
      <c r="G25" s="14">
        <v>10</v>
      </c>
      <c r="H25" s="14">
        <v>20</v>
      </c>
      <c r="I25" s="14">
        <v>30</v>
      </c>
      <c r="J25" s="14">
        <v>29</v>
      </c>
      <c r="K25" s="14">
        <v>30</v>
      </c>
    </row>
    <row r="26" spans="2:11" x14ac:dyDescent="0.25">
      <c r="B26" s="2">
        <v>13</v>
      </c>
      <c r="C26" s="2">
        <v>9</v>
      </c>
      <c r="D26" s="14">
        <v>26</v>
      </c>
      <c r="E26" s="14">
        <v>69</v>
      </c>
      <c r="F26" s="14">
        <v>41</v>
      </c>
      <c r="G26" s="14">
        <v>9</v>
      </c>
      <c r="H26" s="14">
        <v>26</v>
      </c>
      <c r="I26" s="14">
        <v>35</v>
      </c>
      <c r="J26" s="14">
        <v>33</v>
      </c>
      <c r="K26" s="14">
        <v>35</v>
      </c>
    </row>
    <row r="27" spans="2:11" x14ac:dyDescent="0.25">
      <c r="B27" s="2">
        <v>16</v>
      </c>
      <c r="C27" s="2">
        <v>8</v>
      </c>
      <c r="D27" s="14">
        <v>32</v>
      </c>
      <c r="E27" s="14">
        <v>68</v>
      </c>
      <c r="F27" s="14">
        <v>47</v>
      </c>
      <c r="G27" s="14">
        <v>8</v>
      </c>
      <c r="H27" s="14">
        <v>32</v>
      </c>
      <c r="I27" s="14">
        <v>40</v>
      </c>
      <c r="J27" s="14">
        <v>38</v>
      </c>
      <c r="K27" s="14">
        <v>40</v>
      </c>
    </row>
    <row r="28" spans="2:11" x14ac:dyDescent="0.25">
      <c r="B28" s="2">
        <v>19</v>
      </c>
      <c r="C28" s="2">
        <v>7</v>
      </c>
      <c r="D28" s="14">
        <v>38</v>
      </c>
      <c r="E28" s="14">
        <v>67</v>
      </c>
      <c r="F28" s="14">
        <v>53</v>
      </c>
      <c r="G28" s="14">
        <v>7</v>
      </c>
      <c r="H28" s="14">
        <v>38</v>
      </c>
      <c r="I28" s="14">
        <v>45</v>
      </c>
      <c r="J28" s="14">
        <v>43</v>
      </c>
      <c r="K28" s="14">
        <v>45</v>
      </c>
    </row>
    <row r="29" spans="2:11" x14ac:dyDescent="0.25">
      <c r="B29" s="2">
        <v>22</v>
      </c>
      <c r="C29" s="2">
        <v>6</v>
      </c>
      <c r="D29" s="14">
        <v>44</v>
      </c>
      <c r="E29" s="14">
        <v>66</v>
      </c>
      <c r="F29" s="14">
        <v>59</v>
      </c>
      <c r="G29" s="14">
        <v>6</v>
      </c>
      <c r="H29" s="14">
        <v>44</v>
      </c>
      <c r="I29" s="14">
        <v>50</v>
      </c>
      <c r="J29" s="14">
        <v>48</v>
      </c>
      <c r="K29" s="14">
        <v>50</v>
      </c>
    </row>
    <row r="30" spans="2:11" x14ac:dyDescent="0.25">
      <c r="B30" s="2">
        <v>25</v>
      </c>
      <c r="C30" s="2">
        <v>5</v>
      </c>
      <c r="D30" s="14">
        <v>50</v>
      </c>
      <c r="E30" s="14">
        <v>65</v>
      </c>
      <c r="F30" s="14">
        <v>65</v>
      </c>
      <c r="G30" s="14">
        <v>5</v>
      </c>
      <c r="H30" s="14">
        <v>50</v>
      </c>
      <c r="I30" s="14">
        <v>55</v>
      </c>
      <c r="J30" s="14">
        <v>53</v>
      </c>
      <c r="K30" s="14">
        <v>55</v>
      </c>
    </row>
    <row r="31" spans="2:11" x14ac:dyDescent="0.25">
      <c r="B31" s="2">
        <v>28</v>
      </c>
      <c r="C31" s="2">
        <v>4</v>
      </c>
      <c r="D31" s="14">
        <v>56</v>
      </c>
      <c r="E31" s="14">
        <v>64</v>
      </c>
      <c r="F31" s="14">
        <v>71</v>
      </c>
      <c r="G31" s="14">
        <v>4</v>
      </c>
      <c r="H31" s="14">
        <v>56</v>
      </c>
      <c r="I31" s="14">
        <v>60</v>
      </c>
      <c r="J31" s="14">
        <v>58</v>
      </c>
      <c r="K31" s="14">
        <v>60</v>
      </c>
    </row>
    <row r="32" spans="2:11" x14ac:dyDescent="0.25">
      <c r="B32" s="2">
        <v>31</v>
      </c>
      <c r="C32" s="2">
        <v>3</v>
      </c>
      <c r="D32" s="14">
        <v>77</v>
      </c>
      <c r="E32" s="14">
        <v>63</v>
      </c>
      <c r="F32" s="14">
        <v>92</v>
      </c>
      <c r="G32" s="14">
        <v>3</v>
      </c>
      <c r="H32" s="14">
        <v>62</v>
      </c>
      <c r="I32" s="14">
        <v>65</v>
      </c>
      <c r="J32" s="14">
        <v>64</v>
      </c>
      <c r="K32" s="14">
        <v>65</v>
      </c>
    </row>
    <row r="33" spans="2:11" x14ac:dyDescent="0.25">
      <c r="B33" s="2">
        <v>34</v>
      </c>
      <c r="C33" s="2">
        <v>2</v>
      </c>
      <c r="D33" s="14">
        <v>83</v>
      </c>
      <c r="E33" s="14">
        <v>62</v>
      </c>
      <c r="F33" s="14">
        <v>98</v>
      </c>
      <c r="G33" s="14">
        <v>2</v>
      </c>
      <c r="H33" s="14">
        <v>68</v>
      </c>
      <c r="I33" s="14">
        <v>70</v>
      </c>
      <c r="J33" s="14">
        <v>69</v>
      </c>
      <c r="K33" s="14">
        <v>70</v>
      </c>
    </row>
    <row r="34" spans="2:11" x14ac:dyDescent="0.25">
      <c r="B34" s="2">
        <v>37</v>
      </c>
      <c r="C34" s="2">
        <v>1</v>
      </c>
      <c r="D34" s="14">
        <v>89</v>
      </c>
      <c r="E34" s="14">
        <v>61</v>
      </c>
      <c r="F34" s="14">
        <v>104</v>
      </c>
      <c r="G34" s="14">
        <v>1</v>
      </c>
      <c r="H34" s="14">
        <v>74</v>
      </c>
      <c r="I34" s="14">
        <v>75</v>
      </c>
      <c r="J34" s="14">
        <v>75</v>
      </c>
      <c r="K34" s="14">
        <v>1</v>
      </c>
    </row>
    <row r="35" spans="2:11" x14ac:dyDescent="0.25">
      <c r="B35" s="2">
        <v>40</v>
      </c>
      <c r="C35" s="2">
        <v>0</v>
      </c>
      <c r="D35" s="14">
        <v>95</v>
      </c>
      <c r="E35" s="14"/>
      <c r="F35" s="14">
        <v>110</v>
      </c>
      <c r="G35" s="14"/>
      <c r="H35" s="14">
        <v>80</v>
      </c>
      <c r="I35" s="14"/>
      <c r="J35" s="14">
        <v>80</v>
      </c>
      <c r="K35" s="14"/>
    </row>
    <row r="36" spans="2:11" x14ac:dyDescent="0.25">
      <c r="B36" s="2">
        <v>1</v>
      </c>
      <c r="C36" s="2">
        <v>1</v>
      </c>
      <c r="D36" s="14">
        <v>2</v>
      </c>
      <c r="E36" s="14">
        <v>61</v>
      </c>
      <c r="F36" s="14">
        <v>17</v>
      </c>
      <c r="G36" s="14">
        <v>1</v>
      </c>
      <c r="H36" s="14">
        <v>2</v>
      </c>
      <c r="I36" s="14">
        <v>3</v>
      </c>
      <c r="J36" s="14">
        <v>3</v>
      </c>
      <c r="K36" s="14">
        <v>1</v>
      </c>
    </row>
    <row r="37" spans="2:11" x14ac:dyDescent="0.25">
      <c r="B37" s="2">
        <v>2</v>
      </c>
      <c r="C37" s="2">
        <v>2</v>
      </c>
      <c r="D37" s="14">
        <v>4</v>
      </c>
      <c r="E37" s="14">
        <v>62</v>
      </c>
      <c r="F37" s="14">
        <v>19</v>
      </c>
      <c r="G37" s="14">
        <v>2</v>
      </c>
      <c r="H37" s="14">
        <v>4</v>
      </c>
      <c r="I37" s="14">
        <v>6</v>
      </c>
      <c r="J37" s="14">
        <v>6</v>
      </c>
      <c r="K37" s="14">
        <v>2</v>
      </c>
    </row>
    <row r="38" spans="2:11" x14ac:dyDescent="0.25">
      <c r="B38" s="2">
        <v>3</v>
      </c>
      <c r="C38" s="2">
        <v>3</v>
      </c>
      <c r="D38" s="14">
        <v>6</v>
      </c>
      <c r="E38" s="14">
        <v>63</v>
      </c>
      <c r="F38" s="14">
        <v>21</v>
      </c>
      <c r="G38" s="14">
        <v>3</v>
      </c>
      <c r="H38" s="14">
        <v>6</v>
      </c>
      <c r="I38" s="14">
        <v>9</v>
      </c>
      <c r="J38" s="14">
        <v>9</v>
      </c>
      <c r="K38" s="14">
        <v>3</v>
      </c>
    </row>
    <row r="39" spans="2:11" x14ac:dyDescent="0.25">
      <c r="B39" s="2">
        <v>4</v>
      </c>
      <c r="C39" s="2">
        <v>4</v>
      </c>
      <c r="D39" s="14">
        <v>8</v>
      </c>
      <c r="E39" s="14">
        <v>64</v>
      </c>
      <c r="F39" s="14">
        <v>23</v>
      </c>
      <c r="G39" s="14">
        <v>4</v>
      </c>
      <c r="H39" s="14">
        <v>8</v>
      </c>
      <c r="I39" s="14">
        <v>12</v>
      </c>
      <c r="J39" s="14">
        <v>12</v>
      </c>
      <c r="K39" s="14">
        <v>4</v>
      </c>
    </row>
    <row r="40" spans="2:11" x14ac:dyDescent="0.25">
      <c r="B40" s="2">
        <v>5</v>
      </c>
      <c r="C40" s="2">
        <v>5</v>
      </c>
      <c r="D40" s="14">
        <v>10</v>
      </c>
      <c r="E40" s="14">
        <v>65</v>
      </c>
      <c r="F40" s="14">
        <v>25</v>
      </c>
      <c r="G40" s="14">
        <v>5</v>
      </c>
      <c r="H40" s="14">
        <v>10</v>
      </c>
      <c r="I40" s="14">
        <v>15</v>
      </c>
      <c r="J40" s="14">
        <v>15</v>
      </c>
      <c r="K40" s="14">
        <v>5</v>
      </c>
    </row>
    <row r="41" spans="2:11" x14ac:dyDescent="0.25">
      <c r="B41" s="2">
        <v>6</v>
      </c>
      <c r="C41" s="2">
        <v>6</v>
      </c>
      <c r="D41" s="14">
        <v>12</v>
      </c>
      <c r="E41" s="14">
        <v>66</v>
      </c>
      <c r="F41" s="14">
        <v>27</v>
      </c>
      <c r="G41" s="14">
        <v>6</v>
      </c>
      <c r="H41" s="14">
        <v>12</v>
      </c>
      <c r="I41" s="14">
        <v>18</v>
      </c>
      <c r="J41" s="14">
        <v>18</v>
      </c>
      <c r="K41" s="14">
        <v>6</v>
      </c>
    </row>
    <row r="42" spans="2:11" x14ac:dyDescent="0.25">
      <c r="B42" s="2">
        <v>7</v>
      </c>
      <c r="C42" s="2">
        <v>7</v>
      </c>
      <c r="D42" s="14">
        <v>14</v>
      </c>
      <c r="E42" s="14">
        <v>67</v>
      </c>
      <c r="F42" s="14">
        <v>29</v>
      </c>
      <c r="G42" s="14">
        <v>7</v>
      </c>
      <c r="H42" s="14">
        <v>14</v>
      </c>
      <c r="I42" s="14">
        <v>21</v>
      </c>
      <c r="J42" s="14">
        <v>21</v>
      </c>
      <c r="K42" s="14">
        <v>7</v>
      </c>
    </row>
    <row r="43" spans="2:11" x14ac:dyDescent="0.25">
      <c r="B43" s="2">
        <v>8</v>
      </c>
      <c r="C43" s="2">
        <v>8</v>
      </c>
      <c r="D43" s="14">
        <v>16</v>
      </c>
      <c r="E43" s="14">
        <v>68</v>
      </c>
      <c r="F43" s="14">
        <v>31</v>
      </c>
      <c r="G43" s="14">
        <v>8</v>
      </c>
      <c r="H43" s="14">
        <v>16</v>
      </c>
      <c r="I43" s="14">
        <v>24</v>
      </c>
      <c r="J43" s="14">
        <v>24</v>
      </c>
      <c r="K43" s="14">
        <v>8</v>
      </c>
    </row>
    <row r="44" spans="2:11" x14ac:dyDescent="0.25">
      <c r="B44" s="2">
        <v>9</v>
      </c>
      <c r="C44" s="2">
        <v>9</v>
      </c>
      <c r="D44" s="14">
        <v>18</v>
      </c>
      <c r="E44" s="14">
        <v>69</v>
      </c>
      <c r="F44" s="14">
        <v>33</v>
      </c>
      <c r="G44" s="14">
        <v>9</v>
      </c>
      <c r="H44" s="14">
        <v>18</v>
      </c>
      <c r="I44" s="14">
        <v>27</v>
      </c>
      <c r="J44" s="14">
        <v>26</v>
      </c>
      <c r="K44" s="14">
        <v>27</v>
      </c>
    </row>
    <row r="45" spans="2:11" x14ac:dyDescent="0.25">
      <c r="B45" s="2">
        <v>10</v>
      </c>
      <c r="C45" s="2">
        <v>10</v>
      </c>
      <c r="D45" s="14">
        <v>20</v>
      </c>
      <c r="E45" s="14">
        <v>70</v>
      </c>
      <c r="F45" s="14">
        <v>35</v>
      </c>
      <c r="G45" s="14">
        <v>10</v>
      </c>
      <c r="H45" s="14">
        <v>20</v>
      </c>
      <c r="I45" s="14">
        <v>30</v>
      </c>
      <c r="J45" s="14">
        <v>29</v>
      </c>
      <c r="K45" s="14">
        <v>30</v>
      </c>
    </row>
    <row r="46" spans="2:11" x14ac:dyDescent="0.25">
      <c r="B46" s="2">
        <v>13</v>
      </c>
      <c r="C46" s="2">
        <v>13</v>
      </c>
      <c r="D46" s="14">
        <v>26</v>
      </c>
      <c r="E46" s="14">
        <v>73</v>
      </c>
      <c r="F46" s="14">
        <v>41</v>
      </c>
      <c r="G46" s="14">
        <v>13</v>
      </c>
      <c r="H46" s="14">
        <v>26</v>
      </c>
      <c r="I46" s="14">
        <v>39</v>
      </c>
      <c r="J46" s="14">
        <v>36</v>
      </c>
      <c r="K46" s="14">
        <v>39</v>
      </c>
    </row>
    <row r="47" spans="2:11" x14ac:dyDescent="0.25">
      <c r="B47" s="2">
        <v>16</v>
      </c>
      <c r="C47" s="2">
        <v>16</v>
      </c>
      <c r="D47" s="14">
        <v>32</v>
      </c>
      <c r="E47" s="14">
        <v>136</v>
      </c>
      <c r="F47" s="14">
        <v>47</v>
      </c>
      <c r="G47" s="14">
        <v>76</v>
      </c>
      <c r="H47" s="14">
        <v>48</v>
      </c>
      <c r="I47" s="14">
        <v>44</v>
      </c>
      <c r="J47" s="14">
        <v>43</v>
      </c>
      <c r="K47" s="14">
        <v>48</v>
      </c>
    </row>
    <row r="48" spans="2:11" x14ac:dyDescent="0.25">
      <c r="B48" s="2">
        <v>19</v>
      </c>
      <c r="C48" s="2">
        <v>19</v>
      </c>
      <c r="D48" s="14">
        <v>38</v>
      </c>
      <c r="E48" s="14">
        <v>139</v>
      </c>
      <c r="F48" s="14">
        <v>53</v>
      </c>
      <c r="G48" s="14">
        <v>79</v>
      </c>
      <c r="H48" s="14">
        <v>57</v>
      </c>
      <c r="I48" s="14">
        <v>51</v>
      </c>
      <c r="J48" s="14">
        <v>49</v>
      </c>
      <c r="K48" s="14">
        <v>57</v>
      </c>
    </row>
    <row r="49" spans="2:11" x14ac:dyDescent="0.25">
      <c r="B49" s="2">
        <v>22</v>
      </c>
      <c r="C49" s="2">
        <v>22</v>
      </c>
      <c r="D49" s="14">
        <v>44</v>
      </c>
      <c r="E49" s="14">
        <v>142</v>
      </c>
      <c r="F49" s="14">
        <v>59</v>
      </c>
      <c r="G49" s="14">
        <v>82</v>
      </c>
      <c r="H49" s="14">
        <v>66</v>
      </c>
      <c r="I49" s="14">
        <v>56</v>
      </c>
      <c r="J49" s="14">
        <v>56</v>
      </c>
      <c r="K49" s="14">
        <v>66</v>
      </c>
    </row>
    <row r="50" spans="2:11" x14ac:dyDescent="0.25">
      <c r="B50" s="2">
        <v>25</v>
      </c>
      <c r="C50" s="2">
        <v>25</v>
      </c>
      <c r="D50" s="14">
        <v>50</v>
      </c>
      <c r="E50" s="14">
        <v>145</v>
      </c>
      <c r="F50" s="14">
        <v>65</v>
      </c>
      <c r="G50" s="14">
        <v>85</v>
      </c>
      <c r="H50" s="14">
        <v>73</v>
      </c>
      <c r="I50" s="14">
        <v>75</v>
      </c>
      <c r="J50" s="14">
        <v>75</v>
      </c>
      <c r="K50" s="14">
        <v>71</v>
      </c>
    </row>
    <row r="51" spans="2:11" x14ac:dyDescent="0.25">
      <c r="B51" s="2">
        <v>28</v>
      </c>
      <c r="C51" s="2">
        <v>28</v>
      </c>
      <c r="D51" s="14">
        <v>56</v>
      </c>
      <c r="E51" s="14">
        <v>148</v>
      </c>
      <c r="F51" s="14">
        <v>71</v>
      </c>
      <c r="G51" s="14">
        <v>88</v>
      </c>
      <c r="H51" s="14">
        <v>80</v>
      </c>
      <c r="I51" s="14">
        <v>84</v>
      </c>
      <c r="J51" s="14">
        <v>84</v>
      </c>
      <c r="K51" s="14">
        <v>78</v>
      </c>
    </row>
    <row r="52" spans="2:11" x14ac:dyDescent="0.25">
      <c r="B52" s="2">
        <v>31</v>
      </c>
      <c r="C52" s="2">
        <v>31</v>
      </c>
      <c r="D52" s="14">
        <v>77</v>
      </c>
      <c r="E52" s="14">
        <v>211</v>
      </c>
      <c r="F52" s="14">
        <v>92</v>
      </c>
      <c r="G52" s="14">
        <v>151</v>
      </c>
      <c r="H52" s="14">
        <v>86</v>
      </c>
      <c r="I52" s="14">
        <v>93</v>
      </c>
      <c r="J52" s="14">
        <v>93</v>
      </c>
      <c r="K52" s="14">
        <v>83</v>
      </c>
    </row>
    <row r="53" spans="2:11" x14ac:dyDescent="0.25">
      <c r="B53" s="2">
        <v>34</v>
      </c>
      <c r="C53" s="2">
        <v>34</v>
      </c>
      <c r="D53" s="14">
        <v>83</v>
      </c>
      <c r="E53" s="14">
        <v>214</v>
      </c>
      <c r="F53" s="14">
        <v>98</v>
      </c>
      <c r="G53" s="14">
        <v>154</v>
      </c>
      <c r="H53" s="14">
        <v>92</v>
      </c>
      <c r="I53" s="14">
        <v>102</v>
      </c>
      <c r="J53" s="14">
        <v>100</v>
      </c>
      <c r="K53" s="14">
        <v>102</v>
      </c>
    </row>
    <row r="54" spans="2:11" x14ac:dyDescent="0.25">
      <c r="B54" s="2">
        <v>37</v>
      </c>
      <c r="C54" s="2">
        <v>37</v>
      </c>
      <c r="D54" s="14">
        <v>89</v>
      </c>
      <c r="E54" s="14">
        <v>217</v>
      </c>
      <c r="F54" s="14">
        <v>104</v>
      </c>
      <c r="G54" s="14">
        <v>157</v>
      </c>
      <c r="H54" s="14">
        <v>111</v>
      </c>
      <c r="I54" s="14">
        <v>109</v>
      </c>
      <c r="J54" s="14">
        <v>107</v>
      </c>
      <c r="K54" s="14">
        <v>111</v>
      </c>
    </row>
    <row r="55" spans="2:11" x14ac:dyDescent="0.25">
      <c r="B55" s="2">
        <v>40</v>
      </c>
      <c r="C55" s="2">
        <v>40</v>
      </c>
      <c r="D55" s="14">
        <v>95</v>
      </c>
      <c r="E55" s="14">
        <v>220</v>
      </c>
      <c r="F55" s="14">
        <v>110</v>
      </c>
      <c r="G55" s="14">
        <v>160</v>
      </c>
      <c r="H55" s="14">
        <v>120</v>
      </c>
      <c r="I55" s="14">
        <v>116</v>
      </c>
      <c r="J55" s="14">
        <v>113</v>
      </c>
      <c r="K55" s="14">
        <v>120</v>
      </c>
    </row>
    <row r="56" spans="2:11" x14ac:dyDescent="0.25">
      <c r="B56" s="8"/>
      <c r="C56" s="8"/>
      <c r="D56" s="23"/>
      <c r="E56" s="23"/>
      <c r="F56" s="23"/>
      <c r="G56" s="23"/>
      <c r="H56" s="23"/>
      <c r="I56" s="23"/>
      <c r="J56" s="23"/>
      <c r="K56" s="23"/>
    </row>
    <row r="57" spans="2:1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</row>
    <row r="58" spans="2:1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</row>
    <row r="59" spans="2:1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</row>
  </sheetData>
  <mergeCells count="14">
    <mergeCell ref="F2:G2"/>
    <mergeCell ref="F5:G5"/>
    <mergeCell ref="F6:G6"/>
    <mergeCell ref="F7:G7"/>
    <mergeCell ref="F8:G8"/>
    <mergeCell ref="F3:G3"/>
    <mergeCell ref="F4:G4"/>
    <mergeCell ref="B12:C13"/>
    <mergeCell ref="J13:K13"/>
    <mergeCell ref="H13:I13"/>
    <mergeCell ref="F13:G13"/>
    <mergeCell ref="D13:E13"/>
    <mergeCell ref="D12:G12"/>
    <mergeCell ref="H12:K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UpdateRows">
                <anchor moveWithCells="1" sizeWithCells="1">
                  <from>
                    <xdr:col>3</xdr:col>
                    <xdr:colOff>19050</xdr:colOff>
                    <xdr:row>1</xdr:row>
                    <xdr:rowOff>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alculate">
                <anchor moveWithCells="1" siz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1</xdr:col>
                    <xdr:colOff>1485900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"/>
  <sheetViews>
    <sheetView workbookViewId="0">
      <selection activeCell="A3" sqref="A3:B43"/>
    </sheetView>
  </sheetViews>
  <sheetFormatPr defaultRowHeight="15" x14ac:dyDescent="0.25"/>
  <cols>
    <col min="1" max="1" width="16.7109375" customWidth="1"/>
    <col min="2" max="2" width="23.42578125" customWidth="1"/>
  </cols>
  <sheetData>
    <row r="1" spans="1:2" x14ac:dyDescent="0.25">
      <c r="A1" s="10" t="s">
        <v>4</v>
      </c>
      <c r="B1" s="10"/>
    </row>
    <row r="2" spans="1:2" ht="16.5" customHeight="1" x14ac:dyDescent="0.25">
      <c r="A2" s="9" t="s">
        <v>3</v>
      </c>
      <c r="B2" s="9" t="s">
        <v>5</v>
      </c>
    </row>
    <row r="3" spans="1:2" x14ac:dyDescent="0.25">
      <c r="A3">
        <v>0</v>
      </c>
      <c r="B3">
        <v>40</v>
      </c>
    </row>
    <row r="4" spans="1:2" x14ac:dyDescent="0.25">
      <c r="A4">
        <v>1</v>
      </c>
      <c r="B4">
        <v>37</v>
      </c>
    </row>
    <row r="5" spans="1:2" x14ac:dyDescent="0.25">
      <c r="A5">
        <v>2</v>
      </c>
      <c r="B5">
        <v>34</v>
      </c>
    </row>
    <row r="6" spans="1:2" x14ac:dyDescent="0.25">
      <c r="A6">
        <v>3</v>
      </c>
      <c r="B6">
        <v>31</v>
      </c>
    </row>
    <row r="7" spans="1:2" x14ac:dyDescent="0.25">
      <c r="A7">
        <v>4</v>
      </c>
      <c r="B7">
        <v>28</v>
      </c>
    </row>
    <row r="8" spans="1:2" x14ac:dyDescent="0.25">
      <c r="A8">
        <v>5</v>
      </c>
      <c r="B8">
        <v>25</v>
      </c>
    </row>
    <row r="9" spans="1:2" x14ac:dyDescent="0.25">
      <c r="A9">
        <v>6</v>
      </c>
      <c r="B9">
        <v>22</v>
      </c>
    </row>
    <row r="10" spans="1:2" x14ac:dyDescent="0.25">
      <c r="A10">
        <v>7</v>
      </c>
      <c r="B10">
        <v>19</v>
      </c>
    </row>
    <row r="11" spans="1:2" x14ac:dyDescent="0.25">
      <c r="A11">
        <v>8</v>
      </c>
      <c r="B11">
        <v>16</v>
      </c>
    </row>
    <row r="12" spans="1:2" x14ac:dyDescent="0.25">
      <c r="A12">
        <v>9</v>
      </c>
      <c r="B12">
        <v>13</v>
      </c>
    </row>
    <row r="13" spans="1:2" x14ac:dyDescent="0.25">
      <c r="A13">
        <v>10</v>
      </c>
      <c r="B13">
        <v>10</v>
      </c>
    </row>
    <row r="14" spans="1:2" x14ac:dyDescent="0.25">
      <c r="A14">
        <v>13</v>
      </c>
      <c r="B14">
        <v>9</v>
      </c>
    </row>
    <row r="15" spans="1:2" x14ac:dyDescent="0.25">
      <c r="A15">
        <v>16</v>
      </c>
      <c r="B15">
        <v>8</v>
      </c>
    </row>
    <row r="16" spans="1:2" x14ac:dyDescent="0.25">
      <c r="A16">
        <v>19</v>
      </c>
      <c r="B16">
        <v>7</v>
      </c>
    </row>
    <row r="17" spans="1:2" x14ac:dyDescent="0.25">
      <c r="A17">
        <v>22</v>
      </c>
      <c r="B17">
        <v>6</v>
      </c>
    </row>
    <row r="18" spans="1:2" x14ac:dyDescent="0.25">
      <c r="A18">
        <v>25</v>
      </c>
      <c r="B18">
        <v>5</v>
      </c>
    </row>
    <row r="19" spans="1:2" x14ac:dyDescent="0.25">
      <c r="A19">
        <v>28</v>
      </c>
      <c r="B19">
        <v>4</v>
      </c>
    </row>
    <row r="20" spans="1:2" x14ac:dyDescent="0.25">
      <c r="A20">
        <v>31</v>
      </c>
      <c r="B20">
        <v>3</v>
      </c>
    </row>
    <row r="21" spans="1:2" x14ac:dyDescent="0.25">
      <c r="A21">
        <v>34</v>
      </c>
      <c r="B21">
        <v>2</v>
      </c>
    </row>
    <row r="22" spans="1:2" x14ac:dyDescent="0.25">
      <c r="A22">
        <v>37</v>
      </c>
      <c r="B22">
        <v>1</v>
      </c>
    </row>
    <row r="23" spans="1:2" x14ac:dyDescent="0.25">
      <c r="A23">
        <v>40</v>
      </c>
      <c r="B23">
        <v>0</v>
      </c>
    </row>
    <row r="24" spans="1:2" x14ac:dyDescent="0.25">
      <c r="A24">
        <v>1</v>
      </c>
      <c r="B24">
        <v>1</v>
      </c>
    </row>
    <row r="25" spans="1:2" x14ac:dyDescent="0.25">
      <c r="A25">
        <v>2</v>
      </c>
      <c r="B25">
        <v>2</v>
      </c>
    </row>
    <row r="26" spans="1:2" x14ac:dyDescent="0.25">
      <c r="A26">
        <v>3</v>
      </c>
      <c r="B26">
        <v>3</v>
      </c>
    </row>
    <row r="27" spans="1:2" x14ac:dyDescent="0.25">
      <c r="A27">
        <v>4</v>
      </c>
      <c r="B27">
        <v>4</v>
      </c>
    </row>
    <row r="28" spans="1:2" x14ac:dyDescent="0.25">
      <c r="A28">
        <v>5</v>
      </c>
      <c r="B28">
        <v>5</v>
      </c>
    </row>
    <row r="29" spans="1:2" x14ac:dyDescent="0.25">
      <c r="A29">
        <v>6</v>
      </c>
      <c r="B29">
        <v>6</v>
      </c>
    </row>
    <row r="30" spans="1:2" x14ac:dyDescent="0.25">
      <c r="A30">
        <v>7</v>
      </c>
      <c r="B30">
        <v>7</v>
      </c>
    </row>
    <row r="31" spans="1:2" x14ac:dyDescent="0.25">
      <c r="A31">
        <v>8</v>
      </c>
      <c r="B31">
        <v>8</v>
      </c>
    </row>
    <row r="32" spans="1:2" x14ac:dyDescent="0.25">
      <c r="A32">
        <v>9</v>
      </c>
      <c r="B32">
        <v>9</v>
      </c>
    </row>
    <row r="33" spans="1:2" x14ac:dyDescent="0.25">
      <c r="A33">
        <v>10</v>
      </c>
      <c r="B33">
        <v>10</v>
      </c>
    </row>
    <row r="34" spans="1:2" x14ac:dyDescent="0.25">
      <c r="A34">
        <v>13</v>
      </c>
      <c r="B34">
        <v>13</v>
      </c>
    </row>
    <row r="35" spans="1:2" x14ac:dyDescent="0.25">
      <c r="A35">
        <v>16</v>
      </c>
      <c r="B35">
        <v>16</v>
      </c>
    </row>
    <row r="36" spans="1:2" x14ac:dyDescent="0.25">
      <c r="A36">
        <v>19</v>
      </c>
      <c r="B36">
        <v>19</v>
      </c>
    </row>
    <row r="37" spans="1:2" x14ac:dyDescent="0.25">
      <c r="A37">
        <v>22</v>
      </c>
      <c r="B37">
        <v>22</v>
      </c>
    </row>
    <row r="38" spans="1:2" x14ac:dyDescent="0.25">
      <c r="A38">
        <v>25</v>
      </c>
      <c r="B38">
        <v>25</v>
      </c>
    </row>
    <row r="39" spans="1:2" x14ac:dyDescent="0.25">
      <c r="A39">
        <v>28</v>
      </c>
      <c r="B39">
        <v>28</v>
      </c>
    </row>
    <row r="40" spans="1:2" x14ac:dyDescent="0.25">
      <c r="A40">
        <v>31</v>
      </c>
      <c r="B40">
        <v>31</v>
      </c>
    </row>
    <row r="41" spans="1:2" x14ac:dyDescent="0.25">
      <c r="A41">
        <v>34</v>
      </c>
      <c r="B41">
        <v>34</v>
      </c>
    </row>
    <row r="42" spans="1:2" x14ac:dyDescent="0.25">
      <c r="A42">
        <v>37</v>
      </c>
      <c r="B42">
        <v>37</v>
      </c>
    </row>
    <row r="43" spans="1:2" x14ac:dyDescent="0.25">
      <c r="A43">
        <v>40</v>
      </c>
      <c r="B43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Traffic control systems</vt:lpstr>
      <vt:lpstr>Demo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Balázs</dc:creator>
  <cp:lastModifiedBy>Simon Balázs</cp:lastModifiedBy>
  <cp:lastPrinted>2017-04-22T12:53:39Z</cp:lastPrinted>
  <dcterms:created xsi:type="dcterms:W3CDTF">2017-04-16T15:01:53Z</dcterms:created>
  <dcterms:modified xsi:type="dcterms:W3CDTF">2017-04-23T00:47:29Z</dcterms:modified>
</cp:coreProperties>
</file>